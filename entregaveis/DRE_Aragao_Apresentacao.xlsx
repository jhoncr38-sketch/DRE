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FIGURAÇÃO" sheetId="1" state="visible" r:id="rId3"/>
    <sheet name="ANUAL" sheetId="2" state="visible" r:id="rId4"/>
    <sheet name="MÊS-DEZEMBRO" sheetId="3" state="visible" r:id="rId5"/>
  </sheets>
  <definedNames>
    <definedName function="false" hidden="false" localSheetId="1" name="_xlnm.Print_Area" vbProcedure="false">ANUAL!$A$1:$F$84</definedName>
    <definedName function="false" hidden="false" localSheetId="1" name="_xlnm.Print_Titles" vbProcedure="false">ANUAL!$1:$5</definedName>
    <definedName function="false" hidden="false" localSheetId="2" name="_xlnm.Print_Area" vbProcedure="false">'MÊS-DEZEMBRO'!$A$1:$J$82</definedName>
    <definedName function="false" hidden="false" localSheetId="2" name="_xlnm.Print_Titles" vbProcedure="false">'MÊS-DEZEMBRO'!$1:$5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48" authorId="0">
      <text>
        <r>
          <rPr>
            <sz val="10"/>
            <rFont val="Arial"/>
            <family val="2"/>
          </rPr>
          <t xml:space="preserve">Valor informado na apuração. A soma das linhas do DRE resulta em R$ 70.367,30 (diferença de R$ 10.922,02). Mantido o valor informado — verificar se há lançamento não detalhado.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-103</xdr:colOff>
                <xdr:row>7</xdr:row>
                <xdr:rowOff>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9" authorId="0">
      <text>
        <r>
          <rPr>
            <sz val="10"/>
            <rFont val="Arial"/>
            <family val="2"/>
          </rPr>
          <t xml:space="preserve">Imposto efetivamente pago no mês dividido pela receita do mês.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25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Percentual da alíquota efetiva correspondente à CBS. A memória RBT12 abaixo usa 15,5% — alinhar os dois critérios.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3</xdr:row>
                <xdr:rowOff>15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Simples Nacional do mês menos a parcela correspondente à CBS. É o valor que permaneceria no Simples caso a CBS passe a ser recolhida à parte.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5</xdr:row>
                <xdr:rowOff>9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Detalhado item a item na DRE ao lado (colunas % c/ créd. e Alíquota).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25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Se o mês anterior fechou com crédito maior que o débito, lance aqui o saldo transportado.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3</xdr:row>
                <xdr:rowOff>0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Lance este valor como 'Saldo credor do mês anterior' na planilha do mês seguinte.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2</xdr:row>
                <xdr:rowOff>25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Valor 6.287,09 digitado na memória de cálculo original (célula F10), sem rótulo e sem ser usado por nenhuma fórmula. Preservado apenas para registro.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-73</xdr:colOff>
                <xdr:row>4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<sst xmlns="http://schemas.openxmlformats.org/spreadsheetml/2006/main" count="163" uniqueCount="122">
  <si>
    <t xml:space="preserve">CONFIGURAÇÃO DO RELATÓRIO</t>
  </si>
  <si>
    <t xml:space="preserve">Nome da empresa</t>
  </si>
  <si>
    <t xml:space="preserve">ARAGÃO PRODUTOS FARMACÊUTICOS</t>
  </si>
  <si>
    <t xml:space="preserve">Período anual</t>
  </si>
  <si>
    <t xml:space="preserve">Exercício Anual</t>
  </si>
  <si>
    <t xml:space="preserve">Mês de referência</t>
  </si>
  <si>
    <t xml:space="preserve">Dezembro</t>
  </si>
  <si>
    <t xml:space="preserve">Altere os campos amarelos: os cabeçalhos das abas mudam sozinhos.</t>
  </si>
  <si>
    <t xml:space="preserve">AUX GRÁFICOS (não imprime)</t>
  </si>
  <si>
    <t xml:space="preserve">Custos</t>
  </si>
  <si>
    <t xml:space="preserve">Despesas G&amp;A</t>
  </si>
  <si>
    <t xml:space="preserve">DESCRIÇÃO</t>
  </si>
  <si>
    <t xml:space="preserve">VALOR (R$)</t>
  </si>
  <si>
    <t xml:space="preserve">% RECEITA</t>
  </si>
  <si>
    <t xml:space="preserve">Despesas c/ Vendas</t>
  </si>
  <si>
    <t xml:space="preserve">Receita total declarada (PGDAS)</t>
  </si>
  <si>
    <t xml:space="preserve">Despesas Tributárias</t>
  </si>
  <si>
    <t xml:space="preserve">( - ) Custos</t>
  </si>
  <si>
    <t xml:space="preserve">Resultado Líquido</t>
  </si>
  <si>
    <t xml:space="preserve">Custo de medicamentos, produtos e outros</t>
  </si>
  <si>
    <t xml:space="preserve">Produtos vencidos</t>
  </si>
  <si>
    <t xml:space="preserve">Receita</t>
  </si>
  <si>
    <t xml:space="preserve">(=) Lucro Operacional Bruto</t>
  </si>
  <si>
    <t xml:space="preserve">(-) Custos</t>
  </si>
  <si>
    <t xml:space="preserve">( - ) Despesas Operacionais</t>
  </si>
  <si>
    <t xml:space="preserve">Lucro Op. Bruto</t>
  </si>
  <si>
    <t xml:space="preserve">Despesas Gerais e Administrativas</t>
  </si>
  <si>
    <t xml:space="preserve">(-) Despesas</t>
  </si>
  <si>
    <t xml:space="preserve">Retirada de Sócio / Plano</t>
  </si>
  <si>
    <t xml:space="preserve">Funcionários</t>
  </si>
  <si>
    <t xml:space="preserve">Alimentação</t>
  </si>
  <si>
    <t xml:space="preserve">Aluguel</t>
  </si>
  <si>
    <t xml:space="preserve">Seguro</t>
  </si>
  <si>
    <t xml:space="preserve">COMO USAR ESTE MODELO</t>
  </si>
  <si>
    <t xml:space="preserve">Telefone / Internet</t>
  </si>
  <si>
    <t xml:space="preserve">• Células em BRANCO = você digita/atualiza (receita, despesas, compras).</t>
  </si>
  <si>
    <t xml:space="preserve">Energia</t>
  </si>
  <si>
    <t xml:space="preserve">• Linhas em NEGRITO com fundo cinza/escuro = calculadas automaticamente. Não edite.</t>
  </si>
  <si>
    <t xml:space="preserve">Cagece</t>
  </si>
  <si>
    <t xml:space="preserve">• Células AMARELAS = premissas da reforma (alíquotas, RBT12, IBS). Edite conforme o caso.</t>
  </si>
  <si>
    <t xml:space="preserve">Contabilidade</t>
  </si>
  <si>
    <t xml:space="preserve">• Ao reaproveitar para outro cliente: troque o nome no cabeçalho e os valores em branco.</t>
  </si>
  <si>
    <t xml:space="preserve">Corpvs Segurança</t>
  </si>
  <si>
    <t xml:space="preserve">• Os gráficos se atualizam sozinhos quando os valores mudam.</t>
  </si>
  <si>
    <t xml:space="preserve">Taxa de banco e cartões</t>
  </si>
  <si>
    <t xml:space="preserve">Sistema</t>
  </si>
  <si>
    <t xml:space="preserve">Manutenção, Dedetização, Equipamentos</t>
  </si>
  <si>
    <t xml:space="preserve">Fatura Cartão</t>
  </si>
  <si>
    <t xml:space="preserve">Outras despesas</t>
  </si>
  <si>
    <t xml:space="preserve">Despesas com Vendas</t>
  </si>
  <si>
    <t xml:space="preserve">Publicidade e Propaganda</t>
  </si>
  <si>
    <t xml:space="preserve">Combustível</t>
  </si>
  <si>
    <t xml:space="preserve">Estacionamento / Lavagem</t>
  </si>
  <si>
    <t xml:space="preserve">Seguro do carro</t>
  </si>
  <si>
    <t xml:space="preserve">Acessórios / conserto veículo / revisão</t>
  </si>
  <si>
    <t xml:space="preserve">Simples Nacional</t>
  </si>
  <si>
    <t xml:space="preserve">INSS</t>
  </si>
  <si>
    <t xml:space="preserve">FGTS</t>
  </si>
  <si>
    <t xml:space="preserve">SEFAZ</t>
  </si>
  <si>
    <t xml:space="preserve">Taxas e Impostos Diversos - Cartório Aguiar</t>
  </si>
  <si>
    <t xml:space="preserve">Parcelamento Simples</t>
  </si>
  <si>
    <t xml:space="preserve">IPTU</t>
  </si>
  <si>
    <t xml:space="preserve">Conselho Regional de Farmácia</t>
  </si>
  <si>
    <t xml:space="preserve">Novo Parcelamento Simples e-CAC</t>
  </si>
  <si>
    <t xml:space="preserve">Novo Parcelamento Previdência</t>
  </si>
  <si>
    <t xml:space="preserve">Novo Parcelamento PGFN</t>
  </si>
  <si>
    <t xml:space="preserve">(=) RESULTADO LÍQUIDO</t>
  </si>
  <si>
    <t xml:space="preserve">ESTOQUE / COMPRAS</t>
  </si>
  <si>
    <t xml:space="preserve">Compra de mercadoria (total ano)</t>
  </si>
  <si>
    <t xml:space="preserve">IBS a pagar (informar)</t>
  </si>
  <si>
    <t xml:space="preserve">% C/ CRÉD.</t>
  </si>
  <si>
    <t xml:space="preserve">ALÍQUOTA</t>
  </si>
  <si>
    <t xml:space="preserve">CRÉDITO (R$)</t>
  </si>
  <si>
    <t xml:space="preserve">MEMÓRIA DE CÁLCULO — REFORMA (CBS)</t>
  </si>
  <si>
    <t xml:space="preserve">Hoje (Simples)</t>
  </si>
  <si>
    <t xml:space="preserve">Receita declarada (PGDAS)</t>
  </si>
  <si>
    <t xml:space="preserve">Simples sem a CBS</t>
  </si>
  <si>
    <t xml:space="preserve">Na transição</t>
  </si>
  <si>
    <t xml:space="preserve">Custo de medicamentos</t>
  </si>
  <si>
    <t xml:space="preserve">Alíquota efetiva (Simples ÷ Receita)</t>
  </si>
  <si>
    <t xml:space="preserve">Custo de vendas de produtos / outros</t>
  </si>
  <si>
    <t xml:space="preserve">% da CBS sobre a efetiva</t>
  </si>
  <si>
    <t xml:space="preserve">Débito CBS</t>
  </si>
  <si>
    <t xml:space="preserve">Percentual da CBS</t>
  </si>
  <si>
    <t xml:space="preserve">Crédito CBS</t>
  </si>
  <si>
    <t xml:space="preserve">Percentual ICMS</t>
  </si>
  <si>
    <t xml:space="preserve">CBS a pagar</t>
  </si>
  <si>
    <t xml:space="preserve">Alíquota efetiva (líq. ICMS)</t>
  </si>
  <si>
    <t xml:space="preserve">Valor de CBS</t>
  </si>
  <si>
    <t xml:space="preserve">Retirada de sócio</t>
  </si>
  <si>
    <t xml:space="preserve">HapVida</t>
  </si>
  <si>
    <t xml:space="preserve">DÉBITO — receita tributada</t>
  </si>
  <si>
    <t xml:space="preserve">Base (R$)</t>
  </si>
  <si>
    <t xml:space="preserve">Alíquota</t>
  </si>
  <si>
    <t xml:space="preserve">Valor (R$)</t>
  </si>
  <si>
    <t xml:space="preserve">Folha</t>
  </si>
  <si>
    <t xml:space="preserve">Medicamentos</t>
  </si>
  <si>
    <t xml:space="preserve">Demais itens</t>
  </si>
  <si>
    <t xml:space="preserve">Energia / Cagece</t>
  </si>
  <si>
    <t xml:space="preserve">Débito total</t>
  </si>
  <si>
    <t xml:space="preserve">CRÉDITO</t>
  </si>
  <si>
    <t xml:space="preserve">Crédito geral (despesas)</t>
  </si>
  <si>
    <t xml:space="preserve">Crédito medicamentos</t>
  </si>
  <si>
    <t xml:space="preserve">Crédito estoque</t>
  </si>
  <si>
    <t xml:space="preserve">Saldo credor do mês anterior</t>
  </si>
  <si>
    <t xml:space="preserve">Crédito total</t>
  </si>
  <si>
    <t xml:space="preserve">CBS A PAGAR</t>
  </si>
  <si>
    <t xml:space="preserve">Saldo credor a transportar</t>
  </si>
  <si>
    <t xml:space="preserve">CÁLCULO DA ALÍQUOTA EFETIVA (RBT12)</t>
  </si>
  <si>
    <t xml:space="preserve">RBT12</t>
  </si>
  <si>
    <t xml:space="preserve">Alíquota (nominal)</t>
  </si>
  <si>
    <t xml:space="preserve">Parcela a deduzir (PD)</t>
  </si>
  <si>
    <t xml:space="preserve">Alíquota efetiva</t>
  </si>
  <si>
    <t xml:space="preserve">CBS (parcela)</t>
  </si>
  <si>
    <t xml:space="preserve">ICMS (parcela)</t>
  </si>
  <si>
    <t xml:space="preserve">Valor avulso (planilha original)</t>
  </si>
  <si>
    <t xml:space="preserve">Compra de mercadoria (dezembro)</t>
  </si>
  <si>
    <t xml:space="preserve">Inventário 25/11/2025 — Custo total</t>
  </si>
  <si>
    <t xml:space="preserve">Inventário 25/11/2025 — Preço total</t>
  </si>
  <si>
    <t xml:space="preserve">Estoque atualizado 26/11/2025 — Custo total</t>
  </si>
  <si>
    <t xml:space="preserve">Estoque atualizado 26/11/2025 — Preço total</t>
  </si>
  <si>
    <t xml:space="preserve">Pagamento a fornecedor até dezembro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</si>
</sst>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[$-416]&quot;R$ &quot;#,##0.00"/>
    <numFmt numFmtId="167" formatCode="[$-416]0.0%"/>
    <numFmt numFmtId="168" formatCode="[$-416]&quot;R$ &quot;#,##0"/>
    <numFmt numFmtId="169" formatCode="[$-416]0.00%"/>
    <numFmt numFmtId="170" formatCode="[$-416]0.00\%"/>
    <numFmt numFmtId="171" formatCode="[$-416]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262626"/>
      <name val="Arial"/>
      <family val="0"/>
      <charset val="1"/>
    </font>
    <font>
      <sz val="10"/>
      <color rgb="FF262626"/>
      <name val="Arial"/>
      <family val="0"/>
      <charset val="1"/>
    </font>
    <font>
      <i val="true"/>
      <sz val="9"/>
      <color rgb="FF6C6F73"/>
      <name val="Arial"/>
      <family val="0"/>
      <charset val="1"/>
    </font>
    <font>
      <b val="true"/>
      <sz val="16"/>
      <color rgb="FF262626"/>
      <name val="Arial"/>
      <family val="0"/>
      <charset val="1"/>
    </font>
    <font>
      <i val="true"/>
      <sz val="8"/>
      <color rgb="FF3F3F3F"/>
      <name val="Arial"/>
      <family val="0"/>
      <charset val="1"/>
    </font>
    <font>
      <sz val="9"/>
      <color rgb="FF26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F3F3F"/>
      <name val="Arial"/>
      <family val="0"/>
      <charset val="1"/>
    </font>
    <font>
      <b val="true"/>
      <sz val="10"/>
      <color rgb="FFA80201"/>
      <name val="Arial"/>
      <family val="0"/>
      <charset val="1"/>
    </font>
    <font>
      <b val="true"/>
      <sz val="9"/>
      <color rgb="FFA80201"/>
      <name val="Arial"/>
      <family val="0"/>
      <charset val="1"/>
    </font>
    <font>
      <sz val="9"/>
      <color rgb="FF40404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262626"/>
      <name val="Arial"/>
      <family val="0"/>
      <charset val="1"/>
    </font>
    <font>
      <sz val="9"/>
      <color rgb="FF3F3F3F"/>
      <name val="Arial"/>
      <family val="0"/>
      <charset val="1"/>
    </font>
    <font>
      <b val="true"/>
      <sz val="8"/>
      <color rgb="FF3F3F3F"/>
      <name val="Arial"/>
      <family val="0"/>
      <charset val="1"/>
    </font>
    <font>
      <i val="true"/>
      <sz val="9"/>
      <color rgb="FF3F3F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80201"/>
        <bgColor rgb="FF800000"/>
      </patternFill>
    </fill>
    <fill>
      <patternFill patternType="solid">
        <fgColor rgb="FFFFF3CC"/>
        <bgColor rgb="FFF6E5E5"/>
      </patternFill>
    </fill>
    <fill>
      <patternFill patternType="solid">
        <fgColor rgb="FFFFFFFF"/>
        <bgColor rgb="FFFFF3CC"/>
      </patternFill>
    </fill>
    <fill>
      <patternFill patternType="solid">
        <fgColor rgb="FFE7E7E7"/>
        <bgColor rgb="FFF6E5E5"/>
      </patternFill>
    </fill>
    <fill>
      <patternFill patternType="solid">
        <fgColor rgb="FFF6E5E5"/>
        <bgColor rgb="FFE7E7E7"/>
      </patternFill>
    </fill>
    <fill>
      <patternFill patternType="solid">
        <fgColor rgb="FF262626"/>
        <bgColor rgb="FF3F3F3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medium">
        <color rgb="FFA80201"/>
      </top>
      <bottom style="medium">
        <color rgb="FFA80201"/>
      </bottom>
      <diagonal/>
    </border>
    <border diagonalUp="false" diagonalDown="false">
      <left/>
      <right/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1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7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7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7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5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false" hidden="false"/>
    </xf>
    <xf numFmtId="166" fontId="13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0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0" fillId="3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14" fillId="6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right" vertical="center" textRotation="0" wrapText="false" indent="0" shrinkToFit="false"/>
      <protection locked="false" hidden="false"/>
    </xf>
    <xf numFmtId="171" fontId="20" fillId="3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left" vertical="center" textRotation="0" wrapText="false" indent="1" shrinkToFit="false"/>
      <protection locked="false" hidden="false"/>
    </xf>
    <xf numFmtId="166" fontId="20" fillId="3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3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6" fontId="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80201"/>
      <rgbColor rgb="FF008000"/>
      <rgbColor rgb="FF000080"/>
      <rgbColor rgb="FF6E6E6E"/>
      <rgbColor rgb="FF800080"/>
      <rgbColor rgb="FF008080"/>
      <rgbColor rgb="FFD9D9D9"/>
      <rgbColor rgb="FF878787"/>
      <rgbColor rgb="FF9999FF"/>
      <rgbColor rgb="FF993366"/>
      <rgbColor rgb="FFFFF3CC"/>
      <rgbColor rgb="FFE7E7E7"/>
      <rgbColor rgb="FF660066"/>
      <rgbColor rgb="FFD98C8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6E5E5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C6F73"/>
      <rgbColor rgb="FF9E9E9E"/>
      <rgbColor rgb="FF003366"/>
      <rgbColor rgb="FF339966"/>
      <rgbColor rgb="FF003300"/>
      <rgbColor rgb="FF262626"/>
      <rgbColor rgb="FF993300"/>
      <rgbColor rgb="FF993366"/>
      <rgbColor rgb="FF404040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Para onde vai cada real da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62626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a80201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6e6e6e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d98c8b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9e9e9e"/>
              </a:solidFill>
              <a:ln w="936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ANUAL!$H$4:$H$8</c:f>
              <c:strCache>
                <c:ptCount val="5"/>
                <c:pt idx="0">
                  <c:v>Custos</c:v>
                </c:pt>
                <c:pt idx="1">
                  <c:v>Despesas G&amp;A</c:v>
                </c:pt>
                <c:pt idx="2">
                  <c:v>Despesas c/ Vendas</c:v>
                </c:pt>
                <c:pt idx="3">
                  <c:v>Despesas Tributárias</c:v>
                </c:pt>
                <c:pt idx="4">
                  <c:v>Resultado Líquido</c:v>
                </c:pt>
              </c:strCache>
            </c:strRef>
          </c:cat>
          <c:val>
            <c:numRef>
              <c:f>ANUAL!$I$4:$I$8</c:f>
              <c:numCache>
                <c:formatCode>[$-416]"R$ "#,##0.00</c:formatCode>
                <c:ptCount val="5"/>
                <c:pt idx="0">
                  <c:v>699636.26</c:v>
                </c:pt>
                <c:pt idx="1">
                  <c:v>308172.88</c:v>
                </c:pt>
                <c:pt idx="2">
                  <c:v>96</c:v>
                </c:pt>
                <c:pt idx="3">
                  <c:v>109016.62</c:v>
                </c:pt>
                <c:pt idx="4">
                  <c:v>81289.32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Resultado — visão geral (Anual)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80201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e6e6e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262626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6e6e6e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a80201"/>
              </a:solidFill>
              <a:ln w="9360">
                <a:solidFill>
                  <a:srgbClr val="ffffff"/>
                </a:solidFill>
                <a:round/>
              </a:ln>
            </c:spPr>
          </c:dPt>
          <c:dLbls>
            <c:numFmt formatCode="[$-416]&quot;R$ &quot;#,##0" sourceLinked="1"/>
            <c:dLbl>
              <c:idx val="0"/>
              <c:numFmt formatCode="[$-416]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[$-416]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[$-416]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[$-416]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[$-416]&quot;R$ &quot;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ANUAL!$H$10:$H$14</c:f>
              <c:strCache>
                <c:ptCount val="5"/>
                <c:pt idx="0">
                  <c:v>Receita</c:v>
                </c:pt>
                <c:pt idx="1">
                  <c:v>(-) Custos</c:v>
                </c:pt>
                <c:pt idx="2">
                  <c:v>Lucro Op. Bruto</c:v>
                </c:pt>
                <c:pt idx="3">
                  <c:v>(-) Despesas</c:v>
                </c:pt>
                <c:pt idx="4">
                  <c:v>Resultado Líquido</c:v>
                </c:pt>
              </c:strCache>
            </c:strRef>
          </c:cat>
          <c:val>
            <c:numRef>
              <c:f>ANUAL!$I$10:$I$14</c:f>
              <c:numCache>
                <c:formatCode>[$-416]"R$ "#,##0.00</c:formatCode>
                <c:ptCount val="5"/>
                <c:pt idx="0">
                  <c:v>1187289.06</c:v>
                </c:pt>
                <c:pt idx="1">
                  <c:v>699636.26</c:v>
                </c:pt>
                <c:pt idx="2">
                  <c:v>487652.8</c:v>
                </c:pt>
                <c:pt idx="3">
                  <c:v>417285.5</c:v>
                </c:pt>
                <c:pt idx="4">
                  <c:v>81289.32</c:v>
                </c:pt>
              </c:numCache>
            </c:numRef>
          </c:val>
        </c:ser>
        <c:gapWidth val="150"/>
        <c:overlap val="0"/>
        <c:axId val="45125451"/>
        <c:axId val="63290731"/>
      </c:barChart>
      <c:catAx>
        <c:axId val="45125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90731"/>
        <c:crosses val="autoZero"/>
        <c:auto val="1"/>
        <c:lblAlgn val="ctr"/>
        <c:lblOffset val="100"/>
        <c:noMultiLvlLbl val="0"/>
      </c:catAx>
      <c:valAx>
        <c:axId val="63290731"/>
        <c:scaling>
          <c:orientation val="minMax"/>
        </c:scaling>
        <c:delete val="0"/>
        <c:axPos val="l"/>
        <c:numFmt formatCode="[$-416]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25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Tributária Mensal — Hoje x Transição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62626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e6e6e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a80201"/>
              </a:solidFill>
              <a:ln w="9360">
                <a:solidFill>
                  <a:srgbClr val="ffffff"/>
                </a:solidFill>
                <a:round/>
              </a:ln>
            </c:spPr>
          </c:dPt>
          <c:dLbls>
            <c:numFmt formatCode="[$-416]&quot;R$ &quot;#,##0.00" sourceLinked="1"/>
            <c:dLbl>
              <c:idx val="0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'MÊS-DEZEMBRO'!$N$6:$N$8</c:f>
              <c:strCache>
                <c:ptCount val="3"/>
                <c:pt idx="0">
                  <c:v>Hoje (Simples)</c:v>
                </c:pt>
                <c:pt idx="1">
                  <c:v>Simples sem a CBS</c:v>
                </c:pt>
                <c:pt idx="2">
                  <c:v>Na transição</c:v>
                </c:pt>
              </c:strCache>
            </c:strRef>
          </c:cat>
          <c:val>
            <c:numRef>
              <c:f>'MÊS-DEZEMBRO'!$O$6:$O$8</c:f>
              <c:numCache>
                <c:formatCode>[$-416]"R$ "#,##0.00</c:formatCode>
                <c:ptCount val="3"/>
                <c:pt idx="0">
                  <c:v>4889.93</c:v>
                </c:pt>
                <c:pt idx="1">
                  <c:v>4140.303731</c:v>
                </c:pt>
                <c:pt idx="2">
                  <c:v>4955.8482446</c:v>
                </c:pt>
              </c:numCache>
            </c:numRef>
          </c:val>
        </c:ser>
        <c:gapWidth val="150"/>
        <c:overlap val="0"/>
        <c:axId val="2036761"/>
        <c:axId val="57370697"/>
      </c:barChart>
      <c:catAx>
        <c:axId val="2036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0697"/>
        <c:crosses val="autoZero"/>
        <c:auto val="1"/>
        <c:lblAlgn val="ctr"/>
        <c:lblOffset val="100"/>
        <c:noMultiLvlLbl val="0"/>
      </c:catAx>
      <c:valAx>
        <c:axId val="57370697"/>
        <c:scaling>
          <c:orientation val="minMax"/>
        </c:scaling>
        <c:delete val="0"/>
        <c:axPos val="l"/>
        <c:numFmt formatCode="[$-416]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6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CBS — Débito, Crédito e Saldo a Pagar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62626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6e6e6e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a80201"/>
              </a:solidFill>
              <a:ln w="9360">
                <a:solidFill>
                  <a:srgbClr val="ffffff"/>
                </a:solidFill>
                <a:round/>
              </a:ln>
            </c:spPr>
          </c:dPt>
          <c:dLbls>
            <c:numFmt formatCode="[$-416]&quot;R$ &quot;#,##0.00" sourceLinked="1"/>
            <c:dLbl>
              <c:idx val="0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[$-416]&quot;R$ &quot;#,##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'MÊS-DEZEMBRO'!$N$10:$N$12</c:f>
              <c:strCache>
                <c:ptCount val="3"/>
                <c:pt idx="0">
                  <c:v>Débito CBS</c:v>
                </c:pt>
                <c:pt idx="1">
                  <c:v>Crédito CBS</c:v>
                </c:pt>
                <c:pt idx="2">
                  <c:v>CBS a pagar</c:v>
                </c:pt>
              </c:strCache>
            </c:strRef>
          </c:cat>
          <c:val>
            <c:numRef>
              <c:f>'MÊS-DEZEMBRO'!$O$10:$O$12</c:f>
              <c:numCache>
                <c:formatCode>[$-416]"R$ "#,##0.00</c:formatCode>
                <c:ptCount val="3"/>
                <c:pt idx="0">
                  <c:v>3536.68624</c:v>
                </c:pt>
                <c:pt idx="1">
                  <c:v>2721.1417264</c:v>
                </c:pt>
                <c:pt idx="2">
                  <c:v>815.544513600001</c:v>
                </c:pt>
              </c:numCache>
            </c:numRef>
          </c:val>
        </c:ser>
        <c:gapWidth val="150"/>
        <c:overlap val="0"/>
        <c:axId val="46694744"/>
        <c:axId val="57443566"/>
      </c:barChart>
      <c:catAx>
        <c:axId val="4669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43566"/>
        <c:crosses val="autoZero"/>
        <c:auto val="1"/>
        <c:lblAlgn val="ctr"/>
        <c:lblOffset val="100"/>
        <c:noMultiLvlLbl val="0"/>
      </c:catAx>
      <c:valAx>
        <c:axId val="57443566"/>
        <c:scaling>
          <c:orientation val="minMax"/>
        </c:scaling>
        <c:delete val="0"/>
        <c:axPos val="l"/>
        <c:numFmt formatCode="[$-416]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94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53</xdr:row>
      <xdr:rowOff>0</xdr:rowOff>
    </xdr:from>
    <xdr:to>
      <xdr:col>5</xdr:col>
      <xdr:colOff>11160</xdr:colOff>
      <xdr:row>67</xdr:row>
      <xdr:rowOff>68760</xdr:rowOff>
    </xdr:to>
    <xdr:graphicFrame>
      <xdr:nvGraphicFramePr>
        <xdr:cNvPr id="0" name="Chart 1"/>
        <xdr:cNvGraphicFramePr/>
      </xdr:nvGraphicFramePr>
      <xdr:xfrm>
        <a:off x="0" y="1011564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69</xdr:row>
      <xdr:rowOff>0</xdr:rowOff>
    </xdr:from>
    <xdr:to>
      <xdr:col>5</xdr:col>
      <xdr:colOff>11160</xdr:colOff>
      <xdr:row>83</xdr:row>
      <xdr:rowOff>68400</xdr:rowOff>
    </xdr:to>
    <xdr:graphicFrame>
      <xdr:nvGraphicFramePr>
        <xdr:cNvPr id="1" name="Chart 2"/>
        <xdr:cNvGraphicFramePr/>
      </xdr:nvGraphicFramePr>
      <xdr:xfrm>
        <a:off x="0" y="1316340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609120</xdr:colOff>
      <xdr:row>2</xdr:row>
      <xdr:rowOff>228240</xdr:rowOff>
    </xdr:to>
    <xdr:pic>
      <xdr:nvPicPr>
        <xdr:cNvPr id="2" name="Image 1" descr="Picture"/>
        <xdr:cNvPicPr/>
      </xdr:nvPicPr>
      <xdr:blipFill>
        <a:blip r:embed="rId3"/>
        <a:stretch/>
      </xdr:blipFill>
      <xdr:spPr>
        <a:xfrm>
          <a:off x="0" y="0"/>
          <a:ext cx="609120" cy="70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0</xdr:rowOff>
    </xdr:from>
    <xdr:to>
      <xdr:col>4</xdr:col>
      <xdr:colOff>293400</xdr:colOff>
      <xdr:row>63</xdr:row>
      <xdr:rowOff>68760</xdr:rowOff>
    </xdr:to>
    <xdr:graphicFrame>
      <xdr:nvGraphicFramePr>
        <xdr:cNvPr id="3" name="Chart 1"/>
        <xdr:cNvGraphicFramePr/>
      </xdr:nvGraphicFramePr>
      <xdr:xfrm>
        <a:off x="0" y="1003932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65</xdr:row>
      <xdr:rowOff>0</xdr:rowOff>
    </xdr:from>
    <xdr:to>
      <xdr:col>4</xdr:col>
      <xdr:colOff>293400</xdr:colOff>
      <xdr:row>79</xdr:row>
      <xdr:rowOff>68760</xdr:rowOff>
    </xdr:to>
    <xdr:graphicFrame>
      <xdr:nvGraphicFramePr>
        <xdr:cNvPr id="4" name="Chart 2"/>
        <xdr:cNvGraphicFramePr/>
      </xdr:nvGraphicFramePr>
      <xdr:xfrm>
        <a:off x="0" y="13087440"/>
        <a:ext cx="55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609120</xdr:colOff>
      <xdr:row>2</xdr:row>
      <xdr:rowOff>171000</xdr:rowOff>
    </xdr:to>
    <xdr:pic>
      <xdr:nvPicPr>
        <xdr:cNvPr id="5" name="Image 1" descr="Picture"/>
        <xdr:cNvPicPr/>
      </xdr:nvPicPr>
      <xdr:blipFill>
        <a:blip r:embed="rId3"/>
        <a:stretch/>
      </xdr:blipFill>
      <xdr:spPr>
        <a:xfrm>
          <a:off x="0" y="0"/>
          <a:ext cx="609120" cy="70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B2" s="2"/>
    </row>
    <row r="3" customFormat="false" ht="18.75" hidden="false" customHeight="true" outlineLevel="0" collapsed="false">
      <c r="A3" s="3" t="s">
        <v>1</v>
      </c>
      <c r="B3" s="4" t="s">
        <v>2</v>
      </c>
    </row>
    <row r="4" customFormat="false" ht="18.75" hidden="false" customHeight="true" outlineLevel="0" collapsed="false">
      <c r="A4" s="3" t="s">
        <v>3</v>
      </c>
      <c r="B4" s="4" t="s">
        <v>4</v>
      </c>
    </row>
    <row r="5" customFormat="false" ht="18.75" hidden="false" customHeight="tru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A7" s="5" t="s">
        <v>7</v>
      </c>
      <c r="B7" s="2"/>
    </row>
  </sheetData>
  <sheetProtection sheet="true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6" min="4" style="0" width="3"/>
    <col collapsed="false" customWidth="true" hidden="false" outlineLevel="0" max="8" min="8" style="0" width="30"/>
    <col collapsed="false" customWidth="true" hidden="false" outlineLevel="0" max="9" min="9" style="0" width="15"/>
  </cols>
  <sheetData>
    <row r="1" customFormat="false" ht="18.75" hidden="false" customHeight="true" outlineLevel="0" collapsed="false">
      <c r="A1" s="6" t="str">
        <f aca="false">"DEMONSTRAÇÃO DE RESULTADO — DRE"&amp;CHAR(10)&amp;CONFIGURAÇÃO!$B$3&amp;CHAR(10)&amp;CONFIGURAÇÃO!$B$4</f>
        <v>DEMONSTRAÇÃO DE RESULTADO — DRE
ARAGÃO PRODUTOS FARMACÊUTICOS
Exercício Anual</v>
      </c>
      <c r="B1" s="6"/>
      <c r="C1" s="6"/>
      <c r="D1" s="6"/>
      <c r="E1" s="6"/>
      <c r="F1" s="6"/>
    </row>
    <row r="2" customFormat="false" ht="18.75" hidden="false" customHeight="true" outlineLevel="0" collapsed="false">
      <c r="A2" s="6"/>
      <c r="B2" s="6"/>
      <c r="C2" s="6"/>
      <c r="D2" s="6"/>
      <c r="E2" s="6"/>
      <c r="F2" s="6"/>
      <c r="H2" s="7" t="s">
        <v>8</v>
      </c>
    </row>
    <row r="3" customFormat="false" ht="18.75" hidden="false" customHeight="true" outlineLevel="0" collapsed="false">
      <c r="A3" s="6"/>
      <c r="B3" s="6"/>
      <c r="C3" s="6"/>
      <c r="D3" s="6"/>
      <c r="E3" s="6"/>
      <c r="F3" s="6"/>
    </row>
    <row r="4" customFormat="false" ht="18.75" hidden="false" customHeight="true" outlineLevel="0" collapsed="false">
      <c r="A4" s="6"/>
      <c r="B4" s="6"/>
      <c r="C4" s="6"/>
      <c r="D4" s="6"/>
      <c r="E4" s="6"/>
      <c r="F4" s="6"/>
      <c r="H4" s="8" t="s">
        <v>9</v>
      </c>
      <c r="I4" s="9" t="n">
        <f aca="false">B8</f>
        <v>699636.26</v>
      </c>
    </row>
    <row r="5" customFormat="false" ht="6" hidden="false" customHeight="true" outlineLevel="0" collapsed="false">
      <c r="A5" s="10"/>
      <c r="B5" s="11"/>
      <c r="C5" s="10"/>
      <c r="D5" s="10"/>
      <c r="E5" s="10"/>
      <c r="F5" s="10"/>
      <c r="H5" s="8" t="s">
        <v>10</v>
      </c>
      <c r="I5" s="9" t="n">
        <f aca="false">B13</f>
        <v>308172.88</v>
      </c>
    </row>
    <row r="6" customFormat="false" ht="19.5" hidden="false" customHeight="true" outlineLevel="0" collapsed="false">
      <c r="A6" s="12" t="s">
        <v>11</v>
      </c>
      <c r="B6" s="13" t="s">
        <v>12</v>
      </c>
      <c r="C6" s="14" t="s">
        <v>13</v>
      </c>
      <c r="H6" s="8" t="s">
        <v>14</v>
      </c>
      <c r="I6" s="9" t="n">
        <f aca="false">B29</f>
        <v>96</v>
      </c>
    </row>
    <row r="7" customFormat="false" ht="15" hidden="false" customHeight="true" outlineLevel="0" collapsed="false">
      <c r="A7" s="15" t="s">
        <v>15</v>
      </c>
      <c r="B7" s="16" t="n">
        <v>1187289.06</v>
      </c>
      <c r="C7" s="17" t="n">
        <f aca="false">B7/$B$7</f>
        <v>1</v>
      </c>
      <c r="H7" s="8" t="s">
        <v>16</v>
      </c>
      <c r="I7" s="9" t="n">
        <f aca="false">B35</f>
        <v>109016.62</v>
      </c>
    </row>
    <row r="8" customFormat="false" ht="15" hidden="false" customHeight="true" outlineLevel="0" collapsed="false">
      <c r="A8" s="18" t="s">
        <v>17</v>
      </c>
      <c r="B8" s="19" t="n">
        <f aca="false">SUM(B9:B10)</f>
        <v>699636.26</v>
      </c>
      <c r="C8" s="20" t="n">
        <f aca="false">B8/$B$7</f>
        <v>0.589272051407599</v>
      </c>
      <c r="H8" s="8" t="s">
        <v>18</v>
      </c>
      <c r="I8" s="9" t="n">
        <f aca="false">B48</f>
        <v>81289.32</v>
      </c>
    </row>
    <row r="9" customFormat="false" ht="15" hidden="false" customHeight="true" outlineLevel="0" collapsed="false">
      <c r="A9" s="21" t="s">
        <v>19</v>
      </c>
      <c r="B9" s="22" t="n">
        <v>696475.3</v>
      </c>
      <c r="C9" s="23"/>
    </row>
    <row r="10" customFormat="false" ht="15" hidden="false" customHeight="true" outlineLevel="0" collapsed="false">
      <c r="A10" s="21" t="s">
        <v>20</v>
      </c>
      <c r="B10" s="22" t="n">
        <v>3160.96</v>
      </c>
      <c r="C10" s="23" t="n">
        <f aca="false">B10/$B$7</f>
        <v>0.00266233397282377</v>
      </c>
      <c r="H10" s="8" t="s">
        <v>21</v>
      </c>
      <c r="I10" s="9" t="n">
        <f aca="false">B7</f>
        <v>1187289.06</v>
      </c>
    </row>
    <row r="11" customFormat="false" ht="15" hidden="false" customHeight="true" outlineLevel="0" collapsed="false">
      <c r="A11" s="24" t="s">
        <v>22</v>
      </c>
      <c r="B11" s="25" t="n">
        <f aca="false">B7-B8</f>
        <v>487652.8</v>
      </c>
      <c r="C11" s="26" t="n">
        <f aca="false">B11/$B$7</f>
        <v>0.410727948592401</v>
      </c>
      <c r="H11" s="8" t="s">
        <v>23</v>
      </c>
      <c r="I11" s="9" t="n">
        <f aca="false">B8</f>
        <v>699636.26</v>
      </c>
    </row>
    <row r="12" customFormat="false" ht="15" hidden="false" customHeight="true" outlineLevel="0" collapsed="false">
      <c r="A12" s="27" t="s">
        <v>24</v>
      </c>
      <c r="B12" s="28"/>
      <c r="C12" s="29"/>
      <c r="H12" s="8" t="s">
        <v>25</v>
      </c>
      <c r="I12" s="9" t="n">
        <f aca="false">B11</f>
        <v>487652.8</v>
      </c>
    </row>
    <row r="13" customFormat="false" ht="15" hidden="false" customHeight="true" outlineLevel="0" collapsed="false">
      <c r="A13" s="18" t="s">
        <v>26</v>
      </c>
      <c r="B13" s="19" t="n">
        <f aca="false">SUM(B14:B28)</f>
        <v>308172.88</v>
      </c>
      <c r="C13" s="20" t="n">
        <f aca="false">B13/$B$7</f>
        <v>0.259560110829287</v>
      </c>
      <c r="H13" s="8" t="s">
        <v>27</v>
      </c>
      <c r="I13" s="9" t="n">
        <f aca="false">B13+B29+B35</f>
        <v>417285.5</v>
      </c>
    </row>
    <row r="14" customFormat="false" ht="15" hidden="false" customHeight="true" outlineLevel="0" collapsed="false">
      <c r="A14" s="21" t="s">
        <v>28</v>
      </c>
      <c r="B14" s="22" t="n">
        <v>19031.85</v>
      </c>
      <c r="C14" s="23" t="n">
        <f aca="false">B14/$B$7</f>
        <v>0.0160296684616971</v>
      </c>
      <c r="H14" s="8" t="s">
        <v>18</v>
      </c>
      <c r="I14" s="9" t="n">
        <f aca="false">B48</f>
        <v>81289.32</v>
      </c>
    </row>
    <row r="15" customFormat="false" ht="15" hidden="false" customHeight="true" outlineLevel="0" collapsed="false">
      <c r="A15" s="21" t="s">
        <v>29</v>
      </c>
      <c r="B15" s="22" t="n">
        <v>160841.13</v>
      </c>
      <c r="C15" s="23" t="n">
        <f aca="false">B15/$B$7</f>
        <v>0.135469226002975</v>
      </c>
    </row>
    <row r="16" customFormat="false" ht="15" hidden="false" customHeight="true" outlineLevel="0" collapsed="false">
      <c r="A16" s="21" t="s">
        <v>30</v>
      </c>
      <c r="B16" s="22"/>
      <c r="C16" s="23"/>
    </row>
    <row r="17" customFormat="false" ht="15" hidden="false" customHeight="true" outlineLevel="0" collapsed="false">
      <c r="A17" s="21" t="s">
        <v>31</v>
      </c>
      <c r="B17" s="22" t="n">
        <v>32400</v>
      </c>
      <c r="C17" s="23" t="n">
        <f aca="false">B17/$B$7</f>
        <v>0.0272890579822238</v>
      </c>
    </row>
    <row r="18" customFormat="false" ht="15" hidden="false" customHeight="true" outlineLevel="0" collapsed="false">
      <c r="A18" s="21" t="s">
        <v>32</v>
      </c>
      <c r="B18" s="22" t="n">
        <v>1385.85</v>
      </c>
      <c r="C18" s="23" t="n">
        <f aca="false">B18/$B$7</f>
        <v>0.00116723891989706</v>
      </c>
      <c r="H18" s="30" t="s">
        <v>33</v>
      </c>
    </row>
    <row r="19" customFormat="false" ht="15" hidden="false" customHeight="true" outlineLevel="0" collapsed="false">
      <c r="A19" s="21" t="s">
        <v>34</v>
      </c>
      <c r="B19" s="22" t="n">
        <v>815</v>
      </c>
      <c r="C19" s="23" t="n">
        <f aca="false">B19/$B$7</f>
        <v>0.000686437723935568</v>
      </c>
      <c r="H19" s="31" t="s">
        <v>35</v>
      </c>
    </row>
    <row r="20" customFormat="false" ht="15" hidden="false" customHeight="true" outlineLevel="0" collapsed="false">
      <c r="A20" s="21" t="s">
        <v>36</v>
      </c>
      <c r="B20" s="22" t="n">
        <v>20707.37</v>
      </c>
      <c r="C20" s="23" t="n">
        <f aca="false">B20/$B$7</f>
        <v>0.0174408833515235</v>
      </c>
      <c r="H20" s="31" t="s">
        <v>37</v>
      </c>
    </row>
    <row r="21" customFormat="false" ht="15" hidden="false" customHeight="true" outlineLevel="0" collapsed="false">
      <c r="A21" s="21" t="s">
        <v>38</v>
      </c>
      <c r="B21" s="22" t="n">
        <v>3396.07</v>
      </c>
      <c r="C21" s="23" t="n">
        <f aca="false">B21/$B$7</f>
        <v>0.00286035651671885</v>
      </c>
      <c r="H21" s="31" t="s">
        <v>39</v>
      </c>
    </row>
    <row r="22" customFormat="false" ht="15" hidden="false" customHeight="true" outlineLevel="0" collapsed="false">
      <c r="A22" s="21" t="s">
        <v>40</v>
      </c>
      <c r="B22" s="22" t="n">
        <v>15300</v>
      </c>
      <c r="C22" s="23" t="n">
        <f aca="false">B22/$B$7</f>
        <v>0.0128864996027168</v>
      </c>
      <c r="H22" s="31" t="s">
        <v>41</v>
      </c>
    </row>
    <row r="23" customFormat="false" ht="15" hidden="false" customHeight="true" outlineLevel="0" collapsed="false">
      <c r="A23" s="21" t="s">
        <v>42</v>
      </c>
      <c r="B23" s="22" t="n">
        <v>1809.03</v>
      </c>
      <c r="C23" s="23" t="n">
        <f aca="false">B23/$B$7</f>
        <v>0.00152366433832044</v>
      </c>
      <c r="H23" s="31" t="s">
        <v>43</v>
      </c>
    </row>
    <row r="24" customFormat="false" ht="15" hidden="false" customHeight="true" outlineLevel="0" collapsed="false">
      <c r="A24" s="21" t="s">
        <v>44</v>
      </c>
      <c r="B24" s="22" t="n">
        <v>10171.97</v>
      </c>
      <c r="C24" s="23" t="n">
        <f aca="false">B24/$B$7</f>
        <v>0.0085673913309704</v>
      </c>
    </row>
    <row r="25" customFormat="false" ht="15" hidden="false" customHeight="true" outlineLevel="0" collapsed="false">
      <c r="A25" s="21" t="s">
        <v>45</v>
      </c>
      <c r="B25" s="22" t="n">
        <v>17790.53</v>
      </c>
      <c r="C25" s="23" t="n">
        <f aca="false">B25/$B$7</f>
        <v>0.0149841606390275</v>
      </c>
    </row>
    <row r="26" customFormat="false" ht="15" hidden="false" customHeight="true" outlineLevel="0" collapsed="false">
      <c r="A26" s="21" t="s">
        <v>46</v>
      </c>
      <c r="B26" s="22" t="n">
        <v>240</v>
      </c>
      <c r="C26" s="23" t="n">
        <f aca="false">B26/$B$7</f>
        <v>0.000202141170238695</v>
      </c>
    </row>
    <row r="27" customFormat="false" ht="15" hidden="false" customHeight="true" outlineLevel="0" collapsed="false">
      <c r="A27" s="21" t="s">
        <v>47</v>
      </c>
      <c r="B27" s="22" t="n">
        <v>23592.58</v>
      </c>
      <c r="C27" s="23" t="n">
        <f aca="false">B27/$B$7</f>
        <v>0.0198709655422918</v>
      </c>
    </row>
    <row r="28" customFormat="false" ht="15" hidden="false" customHeight="true" outlineLevel="0" collapsed="false">
      <c r="A28" s="21" t="s">
        <v>48</v>
      </c>
      <c r="B28" s="22" t="n">
        <v>691.5</v>
      </c>
      <c r="C28" s="23" t="n">
        <f aca="false">B28/$B$7</f>
        <v>0.00058241924675024</v>
      </c>
    </row>
    <row r="29" customFormat="false" ht="15" hidden="false" customHeight="true" outlineLevel="0" collapsed="false">
      <c r="A29" s="18" t="s">
        <v>49</v>
      </c>
      <c r="B29" s="19" t="n">
        <f aca="false">SUM(B30:B34)</f>
        <v>96</v>
      </c>
      <c r="C29" s="20" t="n">
        <f aca="false">B29/$B$7</f>
        <v>8.0856468095478E-005</v>
      </c>
    </row>
    <row r="30" customFormat="false" ht="15" hidden="false" customHeight="true" outlineLevel="0" collapsed="false">
      <c r="A30" s="21" t="s">
        <v>50</v>
      </c>
      <c r="B30" s="22"/>
      <c r="C30" s="23"/>
    </row>
    <row r="31" customFormat="false" ht="15" hidden="false" customHeight="true" outlineLevel="0" collapsed="false">
      <c r="A31" s="21" t="s">
        <v>51</v>
      </c>
      <c r="B31" s="22"/>
      <c r="C31" s="23"/>
    </row>
    <row r="32" customFormat="false" ht="15" hidden="false" customHeight="true" outlineLevel="0" collapsed="false">
      <c r="A32" s="21" t="s">
        <v>52</v>
      </c>
      <c r="B32" s="22"/>
      <c r="C32" s="23"/>
    </row>
    <row r="33" customFormat="false" ht="15" hidden="false" customHeight="true" outlineLevel="0" collapsed="false">
      <c r="A33" s="21" t="s">
        <v>53</v>
      </c>
      <c r="B33" s="22"/>
      <c r="C33" s="23"/>
    </row>
    <row r="34" customFormat="false" ht="15" hidden="false" customHeight="true" outlineLevel="0" collapsed="false">
      <c r="A34" s="21" t="s">
        <v>54</v>
      </c>
      <c r="B34" s="22" t="n">
        <v>96</v>
      </c>
      <c r="C34" s="23" t="n">
        <f aca="false">B34/$B$7</f>
        <v>8.0856468095478E-005</v>
      </c>
    </row>
    <row r="35" customFormat="false" ht="15" hidden="false" customHeight="true" outlineLevel="0" collapsed="false">
      <c r="A35" s="18" t="s">
        <v>16</v>
      </c>
      <c r="B35" s="19" t="n">
        <f aca="false">SUM(B36:B46)</f>
        <v>109016.62</v>
      </c>
      <c r="C35" s="20" t="n">
        <f aca="false">B35/$B$7</f>
        <v>0.0918197797594463</v>
      </c>
    </row>
    <row r="36" customFormat="false" ht="15" hidden="false" customHeight="true" outlineLevel="0" collapsed="false">
      <c r="A36" s="21" t="s">
        <v>55</v>
      </c>
      <c r="B36" s="22" t="n">
        <v>60625.84</v>
      </c>
      <c r="C36" s="23" t="n">
        <f aca="false">B36/$B$7</f>
        <v>0.0510624093512661</v>
      </c>
    </row>
    <row r="37" customFormat="false" ht="15" hidden="false" customHeight="true" outlineLevel="0" collapsed="false">
      <c r="A37" s="21" t="s">
        <v>56</v>
      </c>
      <c r="B37" s="22" t="n">
        <v>8249.04</v>
      </c>
      <c r="C37" s="23" t="n">
        <f aca="false">B37/$B$7</f>
        <v>0.00694779416227418</v>
      </c>
    </row>
    <row r="38" customFormat="false" ht="15" hidden="false" customHeight="true" outlineLevel="0" collapsed="false">
      <c r="A38" s="21" t="s">
        <v>57</v>
      </c>
      <c r="B38" s="22" t="n">
        <v>16118.12</v>
      </c>
      <c r="C38" s="23" t="n">
        <f aca="false">B38/$B$7</f>
        <v>0.0135755651618655</v>
      </c>
    </row>
    <row r="39" customFormat="false" ht="15" hidden="false" customHeight="true" outlineLevel="0" collapsed="false">
      <c r="A39" s="21" t="s">
        <v>58</v>
      </c>
      <c r="B39" s="22" t="n">
        <v>2869.6</v>
      </c>
      <c r="C39" s="23" t="n">
        <f aca="false">B39/$B$7</f>
        <v>0.00241693459215399</v>
      </c>
    </row>
    <row r="40" customFormat="false" ht="15" hidden="false" customHeight="true" outlineLevel="0" collapsed="false">
      <c r="A40" s="21" t="s">
        <v>59</v>
      </c>
      <c r="B40" s="22" t="n">
        <v>14125.77</v>
      </c>
      <c r="C40" s="23" t="n">
        <f aca="false">B40/$B$7</f>
        <v>0.0118974986596777</v>
      </c>
    </row>
    <row r="41" customFormat="false" ht="15" hidden="false" customHeight="true" outlineLevel="0" collapsed="false">
      <c r="A41" s="21" t="s">
        <v>60</v>
      </c>
      <c r="B41" s="22" t="n">
        <v>1126.2</v>
      </c>
      <c r="C41" s="23" t="n">
        <f aca="false">B41/$B$7</f>
        <v>0.000948547441345076</v>
      </c>
    </row>
    <row r="42" customFormat="false" ht="15" hidden="false" customHeight="true" outlineLevel="0" collapsed="false">
      <c r="A42" s="21" t="s">
        <v>61</v>
      </c>
      <c r="B42" s="22" t="n">
        <v>773.87</v>
      </c>
      <c r="C42" s="23" t="n">
        <f aca="false">B42/$B$7</f>
        <v>0.000651795780885912</v>
      </c>
    </row>
    <row r="43" customFormat="false" ht="15" hidden="false" customHeight="true" outlineLevel="0" collapsed="false">
      <c r="A43" s="21" t="s">
        <v>62</v>
      </c>
      <c r="B43" s="22" t="n">
        <v>2051.69</v>
      </c>
      <c r="C43" s="23" t="n">
        <f aca="false">B43/$B$7</f>
        <v>0.00172804590652928</v>
      </c>
    </row>
    <row r="44" customFormat="false" ht="15" hidden="false" customHeight="true" outlineLevel="0" collapsed="false">
      <c r="A44" s="21" t="s">
        <v>63</v>
      </c>
      <c r="B44" s="22" t="n">
        <v>1539.39</v>
      </c>
      <c r="C44" s="23" t="n">
        <f aca="false">B44/$B$7</f>
        <v>0.00129655873355727</v>
      </c>
    </row>
    <row r="45" customFormat="false" ht="15" hidden="false" customHeight="true" outlineLevel="0" collapsed="false">
      <c r="A45" s="21" t="s">
        <v>64</v>
      </c>
      <c r="B45" s="22" t="n">
        <v>511.76</v>
      </c>
      <c r="C45" s="23" t="n">
        <f aca="false">B45/$B$7</f>
        <v>0.000431032355338977</v>
      </c>
    </row>
    <row r="46" customFormat="false" ht="15" hidden="false" customHeight="true" outlineLevel="0" collapsed="false">
      <c r="A46" s="21" t="s">
        <v>65</v>
      </c>
      <c r="B46" s="22" t="n">
        <v>1025.34</v>
      </c>
      <c r="C46" s="23" t="n">
        <f aca="false">B46/$B$7</f>
        <v>0.000863597614552264</v>
      </c>
    </row>
    <row r="47" customFormat="false" ht="6" hidden="false" customHeight="true" outlineLevel="0" collapsed="false">
      <c r="B47" s="2"/>
    </row>
    <row r="48" customFormat="false" ht="15" hidden="false" customHeight="true" outlineLevel="0" collapsed="false">
      <c r="A48" s="32" t="s">
        <v>66</v>
      </c>
      <c r="B48" s="33" t="n">
        <v>81289.32</v>
      </c>
      <c r="C48" s="34" t="n">
        <f aca="false">B48/$B$7</f>
        <v>0.0684663261362823</v>
      </c>
    </row>
    <row r="49" customFormat="false" ht="15" hidden="false" customHeight="false" outlineLevel="0" collapsed="false">
      <c r="B49" s="2"/>
    </row>
    <row r="50" customFormat="false" ht="15" hidden="false" customHeight="true" outlineLevel="0" collapsed="false">
      <c r="A50" s="27" t="s">
        <v>67</v>
      </c>
      <c r="B50" s="28"/>
      <c r="C50" s="29"/>
    </row>
    <row r="51" customFormat="false" ht="15" hidden="false" customHeight="true" outlineLevel="0" collapsed="false">
      <c r="A51" s="21" t="s">
        <v>68</v>
      </c>
      <c r="B51" s="22" t="n">
        <v>721324.99</v>
      </c>
      <c r="C51" s="23" t="n">
        <f aca="false">B51/$B$7</f>
        <v>0.607539490004229</v>
      </c>
    </row>
  </sheetData>
  <sheetProtection sheet="true"/>
  <mergeCells count="1">
    <mergeCell ref="A1:F4"/>
  </mergeCells>
  <printOptions headings="false" gridLines="false" gridLinesSet="true" horizontalCentered="true" verticalCentered="false"/>
  <pageMargins left="0.5" right="0.5" top="0.45" bottom="0.5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&amp;K808080Alexandre Araújo — Consultoria Contabilidade&amp;R&amp;8 &amp;K808080Página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4" min="14" style="0" width="30"/>
    <col collapsed="false" customWidth="true" hidden="false" outlineLevel="0" max="15" min="15" style="0" width="14"/>
  </cols>
  <sheetData>
    <row r="1" customFormat="false" ht="21" hidden="false" customHeight="true" outlineLevel="0" collapsed="false">
      <c r="A1" s="6" t="str">
        <f aca="false">"DEMONSTRAÇÃO DE RESULTADO — DRE"&amp;CHAR(10)&amp;CONFIGURAÇÃO!$B$3&amp;CHAR(10)&amp;"Mês de referência: "&amp;CONFIGURAÇÃO!$B$5</f>
        <v>DEMONSTRAÇÃO DE RESULTADO — DRE
ARAGÃO PRODUTOS FARMACÊUTICOS
Mês de referência: Dezembro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21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N2" s="7" t="s">
        <v>8</v>
      </c>
    </row>
    <row r="3" customFormat="false" ht="21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21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N4" s="8" t="s">
        <v>69</v>
      </c>
      <c r="O4" s="35" t="n">
        <v>0</v>
      </c>
    </row>
    <row r="5" customFormat="false" ht="6" hidden="false" customHeight="true" outlineLevel="0" collapsed="false">
      <c r="A5" s="10"/>
      <c r="B5" s="11"/>
      <c r="C5" s="11"/>
      <c r="D5" s="11"/>
      <c r="E5" s="11"/>
      <c r="F5" s="10"/>
      <c r="G5" s="10"/>
      <c r="H5" s="10"/>
      <c r="I5" s="10"/>
      <c r="J5" s="10"/>
    </row>
    <row r="6" customFormat="false" ht="19.5" hidden="false" customHeight="true" outlineLevel="0" collapsed="false">
      <c r="A6" s="12" t="s">
        <v>11</v>
      </c>
      <c r="B6" s="13" t="s">
        <v>12</v>
      </c>
      <c r="C6" s="13" t="s">
        <v>70</v>
      </c>
      <c r="D6" s="13" t="s">
        <v>71</v>
      </c>
      <c r="E6" s="13" t="s">
        <v>72</v>
      </c>
      <c r="G6" s="36" t="s">
        <v>73</v>
      </c>
      <c r="H6" s="36"/>
      <c r="I6" s="36"/>
      <c r="J6" s="36"/>
      <c r="N6" s="8" t="s">
        <v>74</v>
      </c>
      <c r="O6" s="9" t="n">
        <f aca="false">J8</f>
        <v>4889.93</v>
      </c>
    </row>
    <row r="7" customFormat="false" ht="15" hidden="false" customHeight="true" outlineLevel="0" collapsed="false">
      <c r="A7" s="15" t="s">
        <v>75</v>
      </c>
      <c r="B7" s="16" t="n">
        <v>106419.89</v>
      </c>
      <c r="C7" s="37"/>
      <c r="D7" s="37"/>
      <c r="E7" s="16"/>
      <c r="G7" s="38" t="s">
        <v>21</v>
      </c>
      <c r="H7" s="39"/>
      <c r="I7" s="40"/>
      <c r="J7" s="39" t="n">
        <f aca="false">B7</f>
        <v>106419.89</v>
      </c>
      <c r="N7" s="8" t="s">
        <v>76</v>
      </c>
      <c r="O7" s="9" t="n">
        <f aca="false">J15</f>
        <v>4140.303731</v>
      </c>
    </row>
    <row r="8" customFormat="false" ht="15" hidden="false" customHeight="true" outlineLevel="0" collapsed="false">
      <c r="A8" s="41" t="s">
        <v>17</v>
      </c>
      <c r="B8" s="19" t="n">
        <f aca="false">SUM(B9:B11)</f>
        <v>58039.6</v>
      </c>
      <c r="C8" s="42"/>
      <c r="D8" s="42"/>
      <c r="E8" s="43"/>
      <c r="G8" s="38" t="s">
        <v>55</v>
      </c>
      <c r="H8" s="39"/>
      <c r="I8" s="40"/>
      <c r="J8" s="39" t="n">
        <f aca="false">B35</f>
        <v>4889.93</v>
      </c>
      <c r="N8" s="8" t="s">
        <v>77</v>
      </c>
      <c r="O8" s="9" t="n">
        <f aca="false">J15+J32+O4</f>
        <v>4955.8482446</v>
      </c>
    </row>
    <row r="9" customFormat="false" ht="15" hidden="false" customHeight="true" outlineLevel="0" collapsed="false">
      <c r="A9" s="21" t="s">
        <v>78</v>
      </c>
      <c r="B9" s="22"/>
      <c r="C9" s="44"/>
      <c r="D9" s="44"/>
      <c r="E9" s="45"/>
      <c r="G9" s="38" t="s">
        <v>79</v>
      </c>
      <c r="H9" s="39"/>
      <c r="I9" s="40"/>
      <c r="J9" s="46" t="n">
        <f aca="false">IF(J7=0,0,(J8/J7)*100)</f>
        <v>4.59493991207847</v>
      </c>
    </row>
    <row r="10" customFormat="false" ht="15" hidden="false" customHeight="true" outlineLevel="0" collapsed="false">
      <c r="A10" s="21" t="s">
        <v>80</v>
      </c>
      <c r="B10" s="22" t="n">
        <v>58039.6</v>
      </c>
      <c r="C10" s="44"/>
      <c r="D10" s="44"/>
      <c r="E10" s="45"/>
      <c r="G10" s="38" t="s">
        <v>81</v>
      </c>
      <c r="H10" s="39"/>
      <c r="I10" s="40"/>
      <c r="J10" s="47" t="n">
        <v>0.1533</v>
      </c>
      <c r="N10" s="8" t="s">
        <v>82</v>
      </c>
      <c r="O10" s="9" t="n">
        <f aca="false">J21</f>
        <v>3536.68624</v>
      </c>
    </row>
    <row r="11" customFormat="false" ht="15" hidden="false" customHeight="true" outlineLevel="0" collapsed="false">
      <c r="A11" s="21" t="s">
        <v>20</v>
      </c>
      <c r="B11" s="22"/>
      <c r="C11" s="44"/>
      <c r="D11" s="44"/>
      <c r="E11" s="45"/>
      <c r="G11" s="38" t="s">
        <v>83</v>
      </c>
      <c r="H11" s="39"/>
      <c r="I11" s="40"/>
      <c r="J11" s="46" t="n">
        <f aca="false">J9*J10</f>
        <v>0.704404288521629</v>
      </c>
      <c r="N11" s="8" t="s">
        <v>84</v>
      </c>
      <c r="O11" s="9" t="n">
        <f aca="false">J30</f>
        <v>2721.1417264</v>
      </c>
    </row>
    <row r="12" customFormat="false" ht="15" hidden="false" customHeight="true" outlineLevel="0" collapsed="false">
      <c r="A12" s="24" t="s">
        <v>22</v>
      </c>
      <c r="B12" s="25" t="n">
        <f aca="false">B7-B8</f>
        <v>48380.29</v>
      </c>
      <c r="C12" s="48"/>
      <c r="D12" s="48"/>
      <c r="E12" s="49"/>
      <c r="G12" s="38" t="s">
        <v>85</v>
      </c>
      <c r="H12" s="39"/>
      <c r="I12" s="40"/>
      <c r="J12" s="46" t="n">
        <f aca="false">J9*33.5%</f>
        <v>1.53930487054629</v>
      </c>
      <c r="N12" s="8" t="s">
        <v>86</v>
      </c>
      <c r="O12" s="9" t="n">
        <f aca="false">J32</f>
        <v>815.544513600001</v>
      </c>
    </row>
    <row r="13" customFormat="false" ht="15" hidden="false" customHeight="true" outlineLevel="0" collapsed="false">
      <c r="A13" s="27" t="s">
        <v>24</v>
      </c>
      <c r="B13" s="28"/>
      <c r="C13" s="50"/>
      <c r="D13" s="50"/>
      <c r="E13" s="28"/>
      <c r="G13" s="38" t="s">
        <v>87</v>
      </c>
      <c r="H13" s="39"/>
      <c r="I13" s="40"/>
      <c r="J13" s="46" t="n">
        <f aca="false">J9-J12</f>
        <v>3.05563504153218</v>
      </c>
    </row>
    <row r="14" customFormat="false" ht="15" hidden="false" customHeight="true" outlineLevel="0" collapsed="false">
      <c r="A14" s="41" t="s">
        <v>26</v>
      </c>
      <c r="B14" s="19" t="n">
        <f aca="false">SUM(B15:B27)</f>
        <v>23850.09</v>
      </c>
      <c r="C14" s="42"/>
      <c r="D14" s="42"/>
      <c r="E14" s="19" t="n">
        <f aca="false">SUM(E15:E27)</f>
        <v>639.8592</v>
      </c>
      <c r="G14" s="38" t="s">
        <v>88</v>
      </c>
      <c r="H14" s="39"/>
      <c r="I14" s="40"/>
      <c r="J14" s="39" t="n">
        <f aca="false">J7*(J11/100)</f>
        <v>749.626269</v>
      </c>
    </row>
    <row r="15" customFormat="false" ht="15" hidden="false" customHeight="true" outlineLevel="0" collapsed="false">
      <c r="A15" s="21" t="s">
        <v>89</v>
      </c>
      <c r="B15" s="22"/>
      <c r="C15" s="51" t="n">
        <v>0</v>
      </c>
      <c r="D15" s="47" t="n">
        <v>0</v>
      </c>
      <c r="E15" s="52" t="n">
        <f aca="false">B15*C15*D15</f>
        <v>0</v>
      </c>
      <c r="G15" s="53" t="s">
        <v>76</v>
      </c>
      <c r="H15" s="54"/>
      <c r="I15" s="55"/>
      <c r="J15" s="56" t="n">
        <f aca="false">J8-J14</f>
        <v>4140.303731</v>
      </c>
    </row>
    <row r="16" customFormat="false" ht="18" hidden="false" customHeight="true" outlineLevel="0" collapsed="false">
      <c r="A16" s="21" t="s">
        <v>90</v>
      </c>
      <c r="B16" s="22" t="n">
        <v>804.29</v>
      </c>
      <c r="C16" s="51" t="n">
        <v>0</v>
      </c>
      <c r="D16" s="47" t="n">
        <v>0</v>
      </c>
      <c r="E16" s="52" t="n">
        <f aca="false">B16*C16*D16</f>
        <v>0</v>
      </c>
      <c r="G16" s="57" t="s">
        <v>91</v>
      </c>
      <c r="H16" s="58" t="s">
        <v>92</v>
      </c>
      <c r="I16" s="58" t="s">
        <v>93</v>
      </c>
      <c r="J16" s="58" t="s">
        <v>94</v>
      </c>
    </row>
    <row r="17" customFormat="false" ht="15" hidden="false" customHeight="true" outlineLevel="0" collapsed="false">
      <c r="A17" s="21" t="s">
        <v>95</v>
      </c>
      <c r="B17" s="22" t="n">
        <v>12346.56</v>
      </c>
      <c r="C17" s="51" t="n">
        <v>0</v>
      </c>
      <c r="D17" s="47" t="n">
        <v>0</v>
      </c>
      <c r="E17" s="52" t="n">
        <f aca="false">B17*C17*D17</f>
        <v>0</v>
      </c>
      <c r="G17" s="59" t="s">
        <v>96</v>
      </c>
      <c r="H17" s="60" t="n">
        <v>103685.52</v>
      </c>
      <c r="I17" s="47" t="n">
        <v>0.032</v>
      </c>
      <c r="J17" s="39" t="n">
        <f aca="false">IF(OR(H17="",I17=""),0,H17*I17)</f>
        <v>3317.93664</v>
      </c>
    </row>
    <row r="18" customFormat="false" ht="15" hidden="false" customHeight="true" outlineLevel="0" collapsed="false">
      <c r="A18" s="21" t="s">
        <v>31</v>
      </c>
      <c r="B18" s="22" t="n">
        <v>2700</v>
      </c>
      <c r="C18" s="51" t="n">
        <v>0.3</v>
      </c>
      <c r="D18" s="47" t="n">
        <v>0.08</v>
      </c>
      <c r="E18" s="52" t="n">
        <f aca="false">B18*C18*D18</f>
        <v>64.8</v>
      </c>
      <c r="G18" s="59" t="s">
        <v>97</v>
      </c>
      <c r="H18" s="60" t="n">
        <v>2734.37</v>
      </c>
      <c r="I18" s="47" t="n">
        <v>0.08</v>
      </c>
      <c r="J18" s="39" t="n">
        <f aca="false">IF(OR(H18="",I18=""),0,H18*I18)</f>
        <v>218.7496</v>
      </c>
      <c r="N18" s="30" t="s">
        <v>33</v>
      </c>
    </row>
    <row r="19" customFormat="false" ht="15" hidden="false" customHeight="true" outlineLevel="0" collapsed="false">
      <c r="A19" s="21" t="s">
        <v>32</v>
      </c>
      <c r="B19" s="22" t="n">
        <v>125.87</v>
      </c>
      <c r="C19" s="51" t="n">
        <v>1</v>
      </c>
      <c r="D19" s="47" t="n">
        <v>0.08</v>
      </c>
      <c r="E19" s="52" t="n">
        <f aca="false">B19*C19*D19</f>
        <v>10.0696</v>
      </c>
      <c r="G19" s="59"/>
      <c r="H19" s="60"/>
      <c r="I19" s="47"/>
      <c r="J19" s="39" t="n">
        <f aca="false">IF(OR(H19="",I19=""),0,H19*I19)</f>
        <v>0</v>
      </c>
      <c r="N19" s="31" t="s">
        <v>35</v>
      </c>
    </row>
    <row r="20" customFormat="false" ht="15" hidden="false" customHeight="true" outlineLevel="0" collapsed="false">
      <c r="A20" s="21" t="s">
        <v>34</v>
      </c>
      <c r="B20" s="22" t="n">
        <v>151.26</v>
      </c>
      <c r="C20" s="51" t="n">
        <v>1</v>
      </c>
      <c r="D20" s="47" t="n">
        <v>0.08</v>
      </c>
      <c r="E20" s="52" t="n">
        <f aca="false">B20*C20*D20</f>
        <v>12.1008</v>
      </c>
      <c r="G20" s="59"/>
      <c r="H20" s="60"/>
      <c r="I20" s="47"/>
      <c r="J20" s="39" t="n">
        <f aca="false">IF(OR(H20="",I20=""),0,H20*I20)</f>
        <v>0</v>
      </c>
      <c r="N20" s="31" t="s">
        <v>37</v>
      </c>
    </row>
    <row r="21" customFormat="false" ht="15" hidden="false" customHeight="true" outlineLevel="0" collapsed="false">
      <c r="A21" s="21" t="s">
        <v>98</v>
      </c>
      <c r="B21" s="22" t="n">
        <v>1946.13</v>
      </c>
      <c r="C21" s="51" t="n">
        <v>1</v>
      </c>
      <c r="D21" s="47" t="n">
        <v>0.08</v>
      </c>
      <c r="E21" s="52" t="n">
        <f aca="false">B21*C21*D21</f>
        <v>155.6904</v>
      </c>
      <c r="G21" s="53" t="s">
        <v>99</v>
      </c>
      <c r="H21" s="54"/>
      <c r="I21" s="55"/>
      <c r="J21" s="56" t="n">
        <f aca="false">SUM(J17:J20)</f>
        <v>3536.68624</v>
      </c>
      <c r="N21" s="31" t="s">
        <v>39</v>
      </c>
    </row>
    <row r="22" customFormat="false" ht="18" hidden="false" customHeight="true" outlineLevel="0" collapsed="false">
      <c r="A22" s="21" t="s">
        <v>40</v>
      </c>
      <c r="B22" s="22" t="n">
        <v>2100</v>
      </c>
      <c r="C22" s="51" t="n">
        <v>0.7</v>
      </c>
      <c r="D22" s="47" t="n">
        <v>0.08</v>
      </c>
      <c r="E22" s="52" t="n">
        <f aca="false">B22*C22*D22</f>
        <v>117.6</v>
      </c>
      <c r="N22" s="31" t="s">
        <v>41</v>
      </c>
    </row>
    <row r="23" customFormat="false" ht="18" hidden="false" customHeight="true" outlineLevel="0" collapsed="false">
      <c r="A23" s="21" t="s">
        <v>42</v>
      </c>
      <c r="B23" s="22" t="n">
        <v>152.84</v>
      </c>
      <c r="C23" s="51" t="n">
        <v>1</v>
      </c>
      <c r="D23" s="47" t="n">
        <v>0.08</v>
      </c>
      <c r="E23" s="52" t="n">
        <f aca="false">B23*C23*D23</f>
        <v>12.2272</v>
      </c>
      <c r="G23" s="57" t="s">
        <v>100</v>
      </c>
      <c r="N23" s="31" t="s">
        <v>43</v>
      </c>
    </row>
    <row r="24" customFormat="false" ht="15" hidden="false" customHeight="true" outlineLevel="0" collapsed="false">
      <c r="A24" s="21" t="s">
        <v>44</v>
      </c>
      <c r="B24" s="22" t="n">
        <v>2537.14</v>
      </c>
      <c r="C24" s="51" t="n">
        <v>1</v>
      </c>
      <c r="D24" s="47" t="n">
        <v>0.08</v>
      </c>
      <c r="E24" s="52" t="n">
        <f aca="false">B24*C24*D24</f>
        <v>202.9712</v>
      </c>
      <c r="G24" s="38" t="s">
        <v>101</v>
      </c>
      <c r="H24" s="39" t="n">
        <f aca="false">SUMPRODUCT(B15:B27,C15:C27)</f>
        <v>7998.24</v>
      </c>
      <c r="I24" s="40" t="n">
        <f aca="false">IF(H24=0,0,J24/H24)</f>
        <v>0.08</v>
      </c>
      <c r="J24" s="39" t="n">
        <f aca="false">E14</f>
        <v>639.8592</v>
      </c>
    </row>
    <row r="25" customFormat="false" ht="15" hidden="false" customHeight="true" outlineLevel="0" collapsed="false">
      <c r="A25" s="21" t="s">
        <v>45</v>
      </c>
      <c r="B25" s="22" t="n">
        <v>800</v>
      </c>
      <c r="C25" s="51" t="n">
        <v>1</v>
      </c>
      <c r="D25" s="47" t="n">
        <v>0.08</v>
      </c>
      <c r="E25" s="52" t="n">
        <f aca="false">B25*C25*D25</f>
        <v>64</v>
      </c>
      <c r="G25" s="59" t="s">
        <v>102</v>
      </c>
      <c r="H25" s="39" t="n">
        <f aca="false">B43*97%</f>
        <v>60372.1307</v>
      </c>
      <c r="I25" s="47" t="n">
        <v>0.032</v>
      </c>
      <c r="J25" s="39" t="n">
        <f aca="false">IF(OR(H25="",I25=""),0,H25*I25)</f>
        <v>1931.9081824</v>
      </c>
    </row>
    <row r="26" customFormat="false" ht="15" hidden="false" customHeight="true" outlineLevel="0" collapsed="false">
      <c r="A26" s="21" t="s">
        <v>46</v>
      </c>
      <c r="B26" s="22" t="n">
        <v>5</v>
      </c>
      <c r="C26" s="51" t="n">
        <v>1</v>
      </c>
      <c r="D26" s="47" t="n">
        <v>0.08</v>
      </c>
      <c r="E26" s="52" t="n">
        <f aca="false">B26*C26*D26</f>
        <v>0.4</v>
      </c>
      <c r="G26" s="59" t="s">
        <v>103</v>
      </c>
      <c r="H26" s="39" t="n">
        <f aca="false">B43*3%</f>
        <v>1867.1793</v>
      </c>
      <c r="I26" s="47" t="n">
        <v>0.08</v>
      </c>
      <c r="J26" s="39" t="n">
        <f aca="false">IF(OR(H26="",I26=""),0,H26*I26)</f>
        <v>149.374344</v>
      </c>
    </row>
    <row r="27" customFormat="false" ht="15" hidden="false" customHeight="true" outlineLevel="0" collapsed="false">
      <c r="A27" s="21" t="s">
        <v>48</v>
      </c>
      <c r="B27" s="22" t="n">
        <v>181</v>
      </c>
      <c r="C27" s="51" t="n">
        <v>0</v>
      </c>
      <c r="D27" s="47" t="n">
        <v>0</v>
      </c>
      <c r="E27" s="52" t="n">
        <f aca="false">B27*C27*D27</f>
        <v>0</v>
      </c>
      <c r="G27" s="59"/>
      <c r="H27" s="60"/>
      <c r="I27" s="47"/>
      <c r="J27" s="39" t="n">
        <f aca="false">IF(OR(H27="",I27=""),0,H27*I27)</f>
        <v>0</v>
      </c>
    </row>
    <row r="28" customFormat="false" ht="15" hidden="false" customHeight="true" outlineLevel="0" collapsed="false">
      <c r="A28" s="41" t="s">
        <v>49</v>
      </c>
      <c r="B28" s="19" t="n">
        <f aca="false">SUM(B29:B33)</f>
        <v>0</v>
      </c>
      <c r="C28" s="42"/>
      <c r="D28" s="42"/>
      <c r="E28" s="43"/>
      <c r="G28" s="59"/>
      <c r="H28" s="60"/>
      <c r="I28" s="47"/>
      <c r="J28" s="39" t="n">
        <f aca="false">IF(OR(H28="",I28=""),0,H28*I28)</f>
        <v>0</v>
      </c>
    </row>
    <row r="29" customFormat="false" ht="15" hidden="false" customHeight="true" outlineLevel="0" collapsed="false">
      <c r="A29" s="21" t="s">
        <v>50</v>
      </c>
      <c r="B29" s="22"/>
      <c r="C29" s="44"/>
      <c r="D29" s="44"/>
      <c r="E29" s="45"/>
      <c r="G29" s="38" t="s">
        <v>104</v>
      </c>
      <c r="H29" s="39"/>
      <c r="I29" s="40"/>
      <c r="J29" s="60" t="n">
        <v>0</v>
      </c>
    </row>
    <row r="30" customFormat="false" ht="15" hidden="false" customHeight="true" outlineLevel="0" collapsed="false">
      <c r="A30" s="21" t="s">
        <v>51</v>
      </c>
      <c r="B30" s="22"/>
      <c r="C30" s="44"/>
      <c r="D30" s="44"/>
      <c r="E30" s="45"/>
      <c r="G30" s="53" t="s">
        <v>105</v>
      </c>
      <c r="H30" s="54"/>
      <c r="I30" s="55"/>
      <c r="J30" s="56" t="n">
        <f aca="false">J24+SUM(J25:J28)+J29</f>
        <v>2721.1417264</v>
      </c>
    </row>
    <row r="31" customFormat="false" ht="18" hidden="false" customHeight="true" outlineLevel="0" collapsed="false">
      <c r="A31" s="21" t="s">
        <v>52</v>
      </c>
      <c r="B31" s="22"/>
      <c r="C31" s="44"/>
      <c r="D31" s="44"/>
      <c r="E31" s="45"/>
    </row>
    <row r="32" customFormat="false" ht="18" hidden="false" customHeight="true" outlineLevel="0" collapsed="false">
      <c r="A32" s="21" t="s">
        <v>53</v>
      </c>
      <c r="B32" s="22"/>
      <c r="C32" s="44"/>
      <c r="D32" s="44"/>
      <c r="E32" s="45"/>
      <c r="G32" s="61" t="s">
        <v>106</v>
      </c>
      <c r="H32" s="62"/>
      <c r="I32" s="62"/>
      <c r="J32" s="63" t="n">
        <f aca="false">MAX(0,J21-J30)</f>
        <v>815.544513600001</v>
      </c>
    </row>
    <row r="33" customFormat="false" ht="15" hidden="false" customHeight="true" outlineLevel="0" collapsed="false">
      <c r="A33" s="21" t="s">
        <v>54</v>
      </c>
      <c r="B33" s="22"/>
      <c r="C33" s="44"/>
      <c r="D33" s="44"/>
      <c r="E33" s="45"/>
      <c r="G33" s="64" t="s">
        <v>107</v>
      </c>
      <c r="H33" s="39"/>
      <c r="I33" s="40"/>
      <c r="J33" s="65" t="n">
        <f aca="false">MAX(0,J30-J21)</f>
        <v>0</v>
      </c>
    </row>
    <row r="34" customFormat="false" ht="18" hidden="false" customHeight="true" outlineLevel="0" collapsed="false">
      <c r="A34" s="41" t="s">
        <v>16</v>
      </c>
      <c r="B34" s="19" t="n">
        <f aca="false">SUM(B35:B38)</f>
        <v>7541.95</v>
      </c>
      <c r="C34" s="42"/>
      <c r="D34" s="42"/>
      <c r="E34" s="43"/>
      <c r="G34" s="66" t="s">
        <v>108</v>
      </c>
      <c r="H34" s="66"/>
      <c r="I34" s="66"/>
      <c r="J34" s="66"/>
    </row>
    <row r="35" customFormat="false" ht="15" hidden="false" customHeight="true" outlineLevel="0" collapsed="false">
      <c r="A35" s="21" t="s">
        <v>55</v>
      </c>
      <c r="B35" s="22" t="n">
        <v>4889.93</v>
      </c>
      <c r="C35" s="44"/>
      <c r="D35" s="44"/>
      <c r="E35" s="45"/>
      <c r="G35" s="38" t="s">
        <v>109</v>
      </c>
      <c r="H35" s="39"/>
      <c r="I35" s="40"/>
      <c r="J35" s="60" t="n">
        <v>1179636.95</v>
      </c>
    </row>
    <row r="36" customFormat="false" ht="15" hidden="false" customHeight="true" outlineLevel="0" collapsed="false">
      <c r="A36" s="21" t="s">
        <v>56</v>
      </c>
      <c r="B36" s="22" t="n">
        <v>986.67</v>
      </c>
      <c r="C36" s="44"/>
      <c r="D36" s="44"/>
      <c r="E36" s="45"/>
      <c r="G36" s="38" t="s">
        <v>110</v>
      </c>
      <c r="H36" s="39"/>
      <c r="I36" s="40"/>
      <c r="J36" s="67" t="n">
        <v>0.107</v>
      </c>
    </row>
    <row r="37" customFormat="false" ht="15" hidden="false" customHeight="true" outlineLevel="0" collapsed="false">
      <c r="A37" s="21" t="s">
        <v>57</v>
      </c>
      <c r="B37" s="22" t="n">
        <v>987.19</v>
      </c>
      <c r="C37" s="44"/>
      <c r="D37" s="44"/>
      <c r="E37" s="45"/>
      <c r="G37" s="38" t="s">
        <v>111</v>
      </c>
      <c r="H37" s="39"/>
      <c r="I37" s="40"/>
      <c r="J37" s="60" t="n">
        <v>22500</v>
      </c>
    </row>
    <row r="38" customFormat="false" ht="15" hidden="false" customHeight="true" outlineLevel="0" collapsed="false">
      <c r="A38" s="21" t="s">
        <v>58</v>
      </c>
      <c r="B38" s="22" t="n">
        <v>678.16</v>
      </c>
      <c r="C38" s="44"/>
      <c r="D38" s="44"/>
      <c r="E38" s="45"/>
      <c r="G38" s="38" t="s">
        <v>112</v>
      </c>
      <c r="H38" s="39"/>
      <c r="I38" s="40"/>
      <c r="J38" s="46" t="n">
        <f aca="false">IF(J35=0,0,(((J35*J36)-J37)/J35)*100)</f>
        <v>8.792633500502</v>
      </c>
    </row>
    <row r="39" customFormat="false" ht="15" hidden="false" customHeight="true" outlineLevel="0" collapsed="false">
      <c r="B39" s="2"/>
      <c r="C39" s="2"/>
      <c r="D39" s="2"/>
      <c r="E39" s="2"/>
      <c r="G39" s="38" t="s">
        <v>113</v>
      </c>
      <c r="H39" s="39"/>
      <c r="I39" s="40"/>
      <c r="J39" s="46" t="n">
        <f aca="false">J38*15.5%</f>
        <v>1.36285819257781</v>
      </c>
    </row>
    <row r="40" customFormat="false" ht="15" hidden="false" customHeight="true" outlineLevel="0" collapsed="false">
      <c r="A40" s="32" t="s">
        <v>66</v>
      </c>
      <c r="B40" s="68" t="n">
        <f aca="false">B12-B14-B28-B34</f>
        <v>16988.25</v>
      </c>
      <c r="C40" s="69"/>
      <c r="D40" s="69"/>
      <c r="E40" s="33"/>
      <c r="G40" s="38" t="s">
        <v>114</v>
      </c>
      <c r="H40" s="39"/>
      <c r="I40" s="40"/>
      <c r="J40" s="46" t="n">
        <f aca="false">J38*33.5%</f>
        <v>2.94553222266817</v>
      </c>
    </row>
    <row r="41" customFormat="false" ht="15" hidden="false" customHeight="false" outlineLevel="0" collapsed="false">
      <c r="B41" s="2"/>
      <c r="C41" s="2"/>
      <c r="D41" s="2"/>
      <c r="E41" s="2"/>
    </row>
    <row r="42" customFormat="false" ht="15" hidden="false" customHeight="true" outlineLevel="0" collapsed="false">
      <c r="A42" s="27" t="s">
        <v>67</v>
      </c>
      <c r="B42" s="28"/>
      <c r="C42" s="50"/>
      <c r="D42" s="50"/>
      <c r="E42" s="28"/>
      <c r="G42" s="64" t="s">
        <v>115</v>
      </c>
      <c r="H42" s="39"/>
      <c r="I42" s="40"/>
      <c r="J42" s="65" t="n">
        <v>6287.09</v>
      </c>
    </row>
    <row r="43" customFormat="false" ht="18" hidden="false" customHeight="true" outlineLevel="0" collapsed="false">
      <c r="A43" s="21" t="s">
        <v>116</v>
      </c>
      <c r="B43" s="22" t="n">
        <v>62239.31</v>
      </c>
      <c r="C43" s="44"/>
      <c r="D43" s="44"/>
      <c r="E43" s="45"/>
    </row>
    <row r="44" customFormat="false" ht="18" hidden="false" customHeight="true" outlineLevel="0" collapsed="false">
      <c r="A44" s="21" t="s">
        <v>117</v>
      </c>
      <c r="B44" s="22" t="n">
        <v>211166.93</v>
      </c>
      <c r="C44" s="44"/>
      <c r="D44" s="44"/>
      <c r="E44" s="45"/>
    </row>
    <row r="45" customFormat="false" ht="18" hidden="false" customHeight="true" outlineLevel="0" collapsed="false">
      <c r="A45" s="21" t="s">
        <v>118</v>
      </c>
      <c r="B45" s="22" t="n">
        <v>569370.33</v>
      </c>
      <c r="C45" s="44"/>
      <c r="D45" s="44"/>
      <c r="E45" s="45"/>
    </row>
    <row r="46" customFormat="false" ht="18" hidden="false" customHeight="true" outlineLevel="0" collapsed="false">
      <c r="A46" s="21" t="s">
        <v>119</v>
      </c>
      <c r="B46" s="22" t="n">
        <v>177250.29</v>
      </c>
      <c r="C46" s="44"/>
      <c r="D46" s="44"/>
      <c r="E46" s="45"/>
    </row>
    <row r="47" customFormat="false" ht="18" hidden="false" customHeight="true" outlineLevel="0" collapsed="false">
      <c r="A47" s="21" t="s">
        <v>120</v>
      </c>
      <c r="B47" s="22" t="n">
        <v>453222.22</v>
      </c>
      <c r="C47" s="44"/>
      <c r="D47" s="44"/>
      <c r="E47" s="45"/>
    </row>
    <row r="48" customFormat="false" ht="18" hidden="false" customHeight="true" outlineLevel="0" collapsed="false">
      <c r="A48" s="21" t="s">
        <v>121</v>
      </c>
      <c r="B48" s="22" t="n">
        <v>506100.89</v>
      </c>
      <c r="C48" s="44"/>
      <c r="D48" s="44"/>
      <c r="E48" s="45"/>
    </row>
  </sheetData>
  <sheetProtection sheet="true"/>
  <mergeCells count="3">
    <mergeCell ref="A1:J4"/>
    <mergeCell ref="G6:J6"/>
    <mergeCell ref="G34:J34"/>
  </mergeCells>
  <printOptions headings="false" gridLines="false" gridLinesSet="true" horizontalCentered="true" verticalCentered="false"/>
  <pageMargins left="0.5" right="0.5" top="0.45" bottom="0.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&amp;K808080Alexandre Araújo — Consultoria Contabilidade&amp;R&amp;8 &amp;K808080Página &amp;P de &amp;N</oddFooter>
  </headerFooter>
  <rowBreaks count="1" manualBreakCount="1">
    <brk id="49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2026-09-10T21:45:02Z</dcterms:created>
  <dc:creator>openpyxl</dc:creator>
  <dc:description/>
  <dc:language>en-US</dc:language>
  <cp:lastModifiedBy/>
  <dcterms:modified xsi:type="dcterms:W3CDTF">2026-09-10T21:45:02Z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